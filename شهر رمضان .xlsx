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 LAP\Desktop\"/>
    </mc:Choice>
  </mc:AlternateContent>
  <xr:revisionPtr revIDLastSave="0" documentId="13_ncr:1_{7926AB04-F70A-44A8-A243-201543A7BB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" l="1"/>
  <c r="AB10" i="1"/>
  <c r="Y11" i="1"/>
  <c r="Y10" i="1"/>
  <c r="U11" i="1"/>
  <c r="U10" i="1"/>
  <c r="R11" i="1"/>
  <c r="R10" i="1"/>
  <c r="N11" i="1"/>
  <c r="N10" i="1"/>
  <c r="G10" i="1"/>
  <c r="K11" i="1"/>
  <c r="K10" i="1"/>
  <c r="D10" i="1"/>
  <c r="B6" i="1"/>
  <c r="M6" i="1" s="1"/>
  <c r="B4" i="1"/>
  <c r="M4" i="1" s="1"/>
  <c r="G11" i="1"/>
  <c r="D11" i="1"/>
  <c r="N6" i="1" l="1"/>
  <c r="N4" i="1"/>
</calcChain>
</file>

<file path=xl/sharedStrings.xml><?xml version="1.0" encoding="utf-8"?>
<sst xmlns="http://schemas.openxmlformats.org/spreadsheetml/2006/main" count="90" uniqueCount="55">
  <si>
    <t>الصلوات</t>
  </si>
  <si>
    <t>الفجر</t>
  </si>
  <si>
    <t>الظهر</t>
  </si>
  <si>
    <t>العصر</t>
  </si>
  <si>
    <t>المغرب</t>
  </si>
  <si>
    <t>العشاء</t>
  </si>
  <si>
    <t>القراءة</t>
  </si>
  <si>
    <t>ورد الفجر</t>
  </si>
  <si>
    <t>ورد الظهر</t>
  </si>
  <si>
    <t>ورد العصر</t>
  </si>
  <si>
    <t>ورد المغرب</t>
  </si>
  <si>
    <t>ورد العشاء</t>
  </si>
  <si>
    <t>2 رمضان</t>
  </si>
  <si>
    <t xml:space="preserve">1 رمضان </t>
  </si>
  <si>
    <t>3 رمضان</t>
  </si>
  <si>
    <t>4 رمضان</t>
  </si>
  <si>
    <t>5 رمضان</t>
  </si>
  <si>
    <t>6 رمضان</t>
  </si>
  <si>
    <t>7 رمضان</t>
  </si>
  <si>
    <t>8 رمضان</t>
  </si>
  <si>
    <t>9 رمضان</t>
  </si>
  <si>
    <t>10 رمضان</t>
  </si>
  <si>
    <t>11 رمضان</t>
  </si>
  <si>
    <t>12 رمضان</t>
  </si>
  <si>
    <t>13 رمضان</t>
  </si>
  <si>
    <t>14 رمضان</t>
  </si>
  <si>
    <t>15 رمضان</t>
  </si>
  <si>
    <t>16 رمضان</t>
  </si>
  <si>
    <t>17 رمضان</t>
  </si>
  <si>
    <t>18 رمضان</t>
  </si>
  <si>
    <t>19 رمضان</t>
  </si>
  <si>
    <t>20 رمضان</t>
  </si>
  <si>
    <t>21 رمضان</t>
  </si>
  <si>
    <t>22 رمضان</t>
  </si>
  <si>
    <t>23 رمضان</t>
  </si>
  <si>
    <t>24 رمضان</t>
  </si>
  <si>
    <t>25 رمضان</t>
  </si>
  <si>
    <t>26 رمضان</t>
  </si>
  <si>
    <t>27 رمضان</t>
  </si>
  <si>
    <t>28 رمضان</t>
  </si>
  <si>
    <t>29 رمضان</t>
  </si>
  <si>
    <t>الاسبوع الاول</t>
  </si>
  <si>
    <t>الاسبوع الثاني</t>
  </si>
  <si>
    <t>الاسبوع الثالث</t>
  </si>
  <si>
    <t>الاسبوع الرابع</t>
  </si>
  <si>
    <t>اجمالي الصلوات</t>
  </si>
  <si>
    <t>اجمالي الاجزاء</t>
  </si>
  <si>
    <t>هدف القراءة</t>
  </si>
  <si>
    <t>هدف الصلاة</t>
  </si>
  <si>
    <t>نصف حزب للقراءة</t>
  </si>
  <si>
    <t>هدف الصلوات</t>
  </si>
  <si>
    <t>نسبه التحقيق</t>
  </si>
  <si>
    <t>هدف الاجزاء</t>
  </si>
  <si>
    <t>نسبه التحقق</t>
  </si>
  <si>
    <t>تحدي شهر رمضان المبارك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</si>
</sst>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rgb="FFC0000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92D050"/>
      </bottom>
      <diagonal/>
    </border>
    <border>
      <left/>
      <right/>
      <top/>
      <bottom style="medium">
        <color theme="7" tint="0.39994506668294322"/>
      </bottom>
      <diagonal/>
    </border>
    <border>
      <left/>
      <right/>
      <top/>
      <bottom style="medium">
        <color theme="3" tint="0.59996337778862885"/>
      </bottom>
      <diagonal/>
    </border>
    <border>
      <left/>
      <right/>
      <top/>
      <bottom style="medium">
        <color theme="9" tint="0.39994506668294322"/>
      </bottom>
      <diagonal/>
    </border>
    <border>
      <left/>
      <right style="thick">
        <color theme="6"/>
      </right>
      <top/>
      <bottom/>
      <diagonal/>
    </border>
    <border>
      <left/>
      <right style="thick">
        <color rgb="FF92D050"/>
      </right>
      <top/>
      <bottom/>
      <diagonal/>
    </border>
    <border>
      <left/>
      <right style="thick">
        <color rgb="FFFFC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1"/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13" borderId="0" xfId="0" applyFill="1"/>
    <xf numFmtId="0" fontId="0" fillId="13" borderId="5" xfId="0" applyFill="1" applyBorder="1"/>
    <xf numFmtId="0" fontId="0" fillId="12" borderId="5" xfId="0" applyFill="1" applyBorder="1"/>
    <xf numFmtId="0" fontId="0" fillId="6" borderId="0" xfId="0" applyFill="1"/>
    <xf numFmtId="0" fontId="1" fillId="4" borderId="0" xfId="0" applyFont="1" applyFill="1"/>
    <xf numFmtId="1" fontId="0" fillId="0" borderId="0" xfId="0" applyNumberFormat="1"/>
    <xf numFmtId="0" fontId="2" fillId="0" borderId="0" xfId="0" applyFont="1"/>
    <xf numFmtId="9" fontId="1" fillId="4" borderId="0" xfId="0" applyNumberFormat="1" applyFont="1" applyFill="1"/>
    <xf numFmtId="1" fontId="2" fillId="0" borderId="0" xfId="0" applyNumberFormat="1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12">
    <dxf>
      <font>
        <color theme="0"/>
      </font>
      <fill>
        <patternFill>
          <bgColor theme="3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FF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ont>
        <color rgb="FFC00000"/>
      </font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E8DA6996-E88D-479E-BC1C-E6CCC7D7FB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323850</xdr:colOff>
      <xdr:row>0</xdr:row>
      <xdr:rowOff>28575</xdr:rowOff>
    </xdr:from>
    <xdr:to>
      <xdr:col>30</xdr:col>
      <xdr:colOff>38100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9360300" y="28575"/>
          <a:ext cx="1371600" cy="13049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showGridLines="0" rightToLeft="1" tabSelected="1" zoomScale="90" workbookViewId="0">
      <selection activeCell="O22" sqref="O22"/>
    </sheetView>
  </sheetViews>
  <sheetFormatPr defaultRowHeight="15" x14ac:dyDescent="0.25"/>
  <cols>
    <col min="1" max="1" width="12.28515625" bestFit="1" customWidth="1"/>
    <col min="2" max="2" width="7.7109375" bestFit="1" customWidth="1"/>
    <col min="3" max="6" width="7.28515625" bestFit="1" customWidth="1"/>
    <col min="7" max="7" width="8.42578125" bestFit="1" customWidth="1"/>
    <col min="8" max="10" width="7.28515625" bestFit="1" customWidth="1"/>
    <col min="11" max="25" width="8.28515625" bestFit="1" customWidth="1"/>
    <col min="27" max="30" width="8.28515625" bestFit="1" customWidth="1"/>
  </cols>
  <sheetData>
    <row r="1" spans="1:30" x14ac:dyDescent="0.25">
      <c r="A1" s="18" t="s">
        <v>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4" spans="1:30" x14ac:dyDescent="0.25">
      <c r="A4" s="1" t="s">
        <v>45</v>
      </c>
      <c r="B4" s="19">
        <f>SUM(B15:AD19)</f>
        <v>59</v>
      </c>
      <c r="C4" s="19"/>
      <c r="D4" s="19"/>
      <c r="E4" s="22"/>
      <c r="H4" s="25" t="s">
        <v>50</v>
      </c>
      <c r="I4" s="25"/>
      <c r="J4" s="13">
        <v>145</v>
      </c>
      <c r="K4" s="13" t="s">
        <v>51</v>
      </c>
      <c r="L4" s="13"/>
      <c r="M4" s="16">
        <f>B4/J4</f>
        <v>0.40689655172413791</v>
      </c>
      <c r="N4" s="19" t="str">
        <f>IF(AND(B4&gt;100,B4&lt;145),"قربت يا بطل",IF(B4=145,"مبرووووك يا بطل",IF(G10+N10+U10+AB10=400,"برافو حققت الهدف يا بطل وربنا يجعلهم في ميزان حسناتك بس لازم تفضل مكمل",IF(G10+N10+U10=300,"برافو حققت هدف الاسبوع التالت",IF(G10+N10=200,"برافوا حققت هدف الاسبوع التاني",IF(G10=100,"برافوا حققت هدف الاسبوع الاول",""))))))</f>
        <v/>
      </c>
      <c r="O4" s="19"/>
      <c r="P4" s="19"/>
      <c r="Q4" s="19"/>
      <c r="R4" s="19"/>
      <c r="S4" s="19"/>
      <c r="T4" s="19"/>
      <c r="U4" s="19"/>
      <c r="V4" s="19"/>
    </row>
    <row r="6" spans="1:30" x14ac:dyDescent="0.25">
      <c r="A6" s="12" t="s">
        <v>46</v>
      </c>
      <c r="B6" s="19">
        <f>SUM(B21:AC25)/4</f>
        <v>0</v>
      </c>
      <c r="C6" s="19"/>
      <c r="D6" s="19"/>
      <c r="E6" s="23"/>
      <c r="H6" s="25" t="s">
        <v>52</v>
      </c>
      <c r="I6" s="25"/>
      <c r="J6" s="13">
        <v>30</v>
      </c>
      <c r="K6" s="13" t="s">
        <v>53</v>
      </c>
      <c r="L6" s="13"/>
      <c r="M6" s="16">
        <f>B6/J6</f>
        <v>0</v>
      </c>
      <c r="N6" s="19" t="str">
        <f>IF(AND(B4&gt;100,B4&lt;145),"قربت يا بطل",IF(B4=145,"مبرووووك يا بطل",IF(G11+N11+U11+AB11=400,"برافو حققت الهدف يا بطل وربنا يجعلهم في ميزان حسناتك بس لازم تفضل مكمل",IF(G11+N11+U11=300,"برافو حققت هدف الاسبوع التالت",IF(G11+N11=200,"برافوا حققت هدف الاسبوع التاني",IF(G11=100,"برافوا حققت هدف الاسبوع الاول",""))))))</f>
        <v/>
      </c>
      <c r="O6" s="19"/>
      <c r="P6" s="19"/>
      <c r="Q6" s="19"/>
      <c r="R6" s="19"/>
      <c r="S6" s="19"/>
      <c r="T6" s="19"/>
      <c r="U6" s="19"/>
      <c r="V6" s="19"/>
    </row>
    <row r="7" spans="1:30" x14ac:dyDescent="0.25">
      <c r="A7" s="24" t="s">
        <v>49</v>
      </c>
      <c r="B7" s="24"/>
    </row>
    <row r="10" spans="1:30" x14ac:dyDescent="0.25">
      <c r="B10" s="20" t="s">
        <v>48</v>
      </c>
      <c r="C10" s="20"/>
      <c r="D10" s="19" t="str">
        <f>IF(SUM(B15:H19)=35,"تم تحقيق الهدف","لم يتم تحقيق الهدف")</f>
        <v>لم يتم تحقيق الهدف</v>
      </c>
      <c r="E10" s="19"/>
      <c r="F10" s="19"/>
      <c r="G10" s="17">
        <f>(SUM(B15:H19)/35)*100</f>
        <v>22.857142857142858</v>
      </c>
      <c r="H10" s="15"/>
      <c r="I10" s="20" t="s">
        <v>48</v>
      </c>
      <c r="J10" s="20"/>
      <c r="K10" s="19" t="str">
        <f>IF(SUM(I15:O19)=35,"تم تحقيق الهدف","لم يتم تحقيق الهدف")</f>
        <v>تم تحقيق الهدف</v>
      </c>
      <c r="L10" s="19"/>
      <c r="M10" s="19"/>
      <c r="N10" s="14">
        <f>(SUM(I15:O19)/35)*100</f>
        <v>100</v>
      </c>
      <c r="P10" s="20" t="s">
        <v>48</v>
      </c>
      <c r="Q10" s="20"/>
      <c r="R10" s="19" t="str">
        <f>IF(SUM(P15:V19)=35,"تم تحقيق الهدف","لم يتم تحقيق الهدف")</f>
        <v>لم يتم تحقيق الهدف</v>
      </c>
      <c r="S10" s="19"/>
      <c r="T10" s="19"/>
      <c r="U10" s="14">
        <f>(SUM(P15:V19)/35)*100</f>
        <v>45.714285714285715</v>
      </c>
      <c r="W10" s="20" t="s">
        <v>48</v>
      </c>
      <c r="X10" s="20"/>
      <c r="Y10" s="19" t="str">
        <f>IF(SUM(W15:AD19)=35,"نم تحقيق الهدف","لم يتم تحقيق الهدف")</f>
        <v>لم يتم تحقيق الهدف</v>
      </c>
      <c r="Z10" s="19"/>
      <c r="AA10" s="19"/>
      <c r="AB10" s="14">
        <f>(SUM(W15:AD19)/35)*100</f>
        <v>0</v>
      </c>
    </row>
    <row r="11" spans="1:30" x14ac:dyDescent="0.25">
      <c r="B11" s="21" t="s">
        <v>47</v>
      </c>
      <c r="C11" s="21"/>
      <c r="D11" s="19" t="str">
        <f>IF(SUM(B21:H25)=35,"تم تحقيق الهدف","لم يتم تحقيق الهدف")</f>
        <v>لم يتم تحقيق الهدف</v>
      </c>
      <c r="E11" s="19"/>
      <c r="F11" s="19"/>
      <c r="G11" s="17">
        <f>(SUM(B21:H25)/35)*100</f>
        <v>0</v>
      </c>
      <c r="H11" s="15"/>
      <c r="I11" s="21" t="s">
        <v>47</v>
      </c>
      <c r="J11" s="21"/>
      <c r="K11" s="19" t="str">
        <f>IF(SUM(I21:O25)=35,"تم تحقيق الهدف","لم يتم تحقيق الهدف")</f>
        <v>لم يتم تحقيق الهدف</v>
      </c>
      <c r="L11" s="19"/>
      <c r="M11" s="19"/>
      <c r="N11" s="14">
        <f>(SUM(I21:O25)/35)*100</f>
        <v>0</v>
      </c>
      <c r="P11" s="21" t="s">
        <v>47</v>
      </c>
      <c r="Q11" s="21"/>
      <c r="R11" s="19" t="str">
        <f>IF(SUM(P21:V25)=35,"تم تحقيق الهدف","لم يتم تحقيق الهدف")</f>
        <v>لم يتم تحقيق الهدف</v>
      </c>
      <c r="S11" s="19"/>
      <c r="T11" s="19"/>
      <c r="U11" s="14">
        <f>(SUM(P21:V25)/35)*100</f>
        <v>0</v>
      </c>
      <c r="W11" s="21" t="s">
        <v>47</v>
      </c>
      <c r="X11" s="21"/>
      <c r="Y11" s="19" t="str">
        <f>IF(SUM(W21:AD25)=35,"تم تحقيق الهدف","لم يتم تحقيق الهدف")</f>
        <v>لم يتم تحقيق الهدف</v>
      </c>
      <c r="Z11" s="19"/>
      <c r="AA11" s="19"/>
      <c r="AB11" s="14">
        <f>(SUM(W21:AD24)/35)*100</f>
        <v>0</v>
      </c>
    </row>
    <row r="13" spans="1:30" x14ac:dyDescent="0.25">
      <c r="A13" s="9"/>
      <c r="B13" s="26" t="s">
        <v>41</v>
      </c>
      <c r="C13" s="26"/>
      <c r="D13" s="26"/>
      <c r="E13" s="26"/>
      <c r="F13" s="26"/>
      <c r="G13" s="26"/>
      <c r="H13" s="26"/>
      <c r="I13" s="27" t="s">
        <v>42</v>
      </c>
      <c r="J13" s="27"/>
      <c r="K13" s="27"/>
      <c r="L13" s="27"/>
      <c r="M13" s="27"/>
      <c r="N13" s="27"/>
      <c r="O13" s="27"/>
      <c r="P13" s="28" t="s">
        <v>43</v>
      </c>
      <c r="Q13" s="28"/>
      <c r="R13" s="28"/>
      <c r="S13" s="28"/>
      <c r="T13" s="28"/>
      <c r="U13" s="28"/>
      <c r="V13" s="28"/>
      <c r="W13" s="29" t="s">
        <v>44</v>
      </c>
      <c r="X13" s="29"/>
      <c r="Y13" s="29"/>
      <c r="Z13" s="29"/>
      <c r="AA13" s="29"/>
      <c r="AB13" s="29"/>
      <c r="AC13" s="29"/>
      <c r="AD13" s="29"/>
    </row>
    <row r="14" spans="1:30" x14ac:dyDescent="0.25">
      <c r="A14" s="11" t="s">
        <v>0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18</v>
      </c>
      <c r="I14" s="4" t="s">
        <v>19</v>
      </c>
      <c r="J14" s="4" t="s">
        <v>20</v>
      </c>
      <c r="K14" s="4" t="s">
        <v>21</v>
      </c>
      <c r="L14" s="4" t="s">
        <v>22</v>
      </c>
      <c r="M14" s="4" t="s">
        <v>23</v>
      </c>
      <c r="N14" s="4" t="s">
        <v>24</v>
      </c>
      <c r="O14" s="4" t="s">
        <v>25</v>
      </c>
      <c r="P14" s="3" t="s">
        <v>26</v>
      </c>
      <c r="Q14" s="3" t="s">
        <v>27</v>
      </c>
      <c r="R14" s="3" t="s">
        <v>28</v>
      </c>
      <c r="S14" s="3" t="s">
        <v>29</v>
      </c>
      <c r="T14" s="3" t="s">
        <v>30</v>
      </c>
      <c r="U14" s="3" t="s">
        <v>31</v>
      </c>
      <c r="V14" s="3" t="s">
        <v>32</v>
      </c>
      <c r="W14" s="2" t="s">
        <v>33</v>
      </c>
      <c r="X14" s="2" t="s">
        <v>34</v>
      </c>
      <c r="Y14" s="2" t="s">
        <v>35</v>
      </c>
      <c r="Z14" s="2" t="s">
        <v>36</v>
      </c>
      <c r="AA14" s="2" t="s">
        <v>37</v>
      </c>
      <c r="AB14" s="2" t="s">
        <v>38</v>
      </c>
      <c r="AC14" s="2" t="s">
        <v>39</v>
      </c>
      <c r="AD14" s="2" t="s">
        <v>40</v>
      </c>
    </row>
    <row r="15" spans="1:30" x14ac:dyDescent="0.25">
      <c r="A15" s="10" t="s">
        <v>1</v>
      </c>
      <c r="B15">
        <v>1</v>
      </c>
      <c r="C15">
        <v>1</v>
      </c>
      <c r="D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30" x14ac:dyDescent="0.25">
      <c r="A16" s="10" t="s">
        <v>2</v>
      </c>
      <c r="E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T16">
        <v>1</v>
      </c>
      <c r="U16">
        <v>11</v>
      </c>
    </row>
    <row r="17" spans="1:30" x14ac:dyDescent="0.25">
      <c r="A17" s="10" t="s">
        <v>3</v>
      </c>
      <c r="E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Q17">
        <v>1</v>
      </c>
      <c r="R17">
        <v>1</v>
      </c>
      <c r="S17">
        <v>1</v>
      </c>
      <c r="T17">
        <v>1</v>
      </c>
    </row>
    <row r="18" spans="1:30" x14ac:dyDescent="0.25">
      <c r="A18" s="10" t="s">
        <v>4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30" x14ac:dyDescent="0.25">
      <c r="A19" s="10" t="s">
        <v>5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30" x14ac:dyDescent="0.25">
      <c r="A20" s="11" t="s">
        <v>6</v>
      </c>
      <c r="B20" s="1" t="s">
        <v>13</v>
      </c>
      <c r="C20" s="1" t="s">
        <v>12</v>
      </c>
      <c r="D20" s="1" t="s">
        <v>14</v>
      </c>
      <c r="E20" s="1" t="s">
        <v>15</v>
      </c>
      <c r="F20" s="1" t="s">
        <v>16</v>
      </c>
      <c r="G20" s="1" t="s">
        <v>17</v>
      </c>
      <c r="H20" s="1" t="s">
        <v>18</v>
      </c>
      <c r="I20" s="4" t="s">
        <v>19</v>
      </c>
      <c r="J20" s="4" t="s">
        <v>20</v>
      </c>
      <c r="K20" s="4" t="s">
        <v>21</v>
      </c>
      <c r="L20" s="4" t="s">
        <v>22</v>
      </c>
      <c r="M20" s="4" t="s">
        <v>23</v>
      </c>
      <c r="N20" s="4" t="s">
        <v>24</v>
      </c>
      <c r="O20" s="4" t="s">
        <v>25</v>
      </c>
      <c r="P20" s="3" t="s">
        <v>26</v>
      </c>
      <c r="Q20" s="3" t="s">
        <v>27</v>
      </c>
      <c r="R20" s="3" t="s">
        <v>28</v>
      </c>
      <c r="S20" s="3" t="s">
        <v>29</v>
      </c>
      <c r="T20" s="3" t="s">
        <v>30</v>
      </c>
      <c r="U20" s="3" t="s">
        <v>31</v>
      </c>
      <c r="V20" s="3" t="s">
        <v>32</v>
      </c>
      <c r="W20" s="2" t="s">
        <v>33</v>
      </c>
      <c r="X20" s="2" t="s">
        <v>34</v>
      </c>
      <c r="Y20" s="2" t="s">
        <v>35</v>
      </c>
      <c r="Z20" s="2" t="s">
        <v>36</v>
      </c>
      <c r="AA20" s="2" t="s">
        <v>37</v>
      </c>
      <c r="AB20" s="2" t="s">
        <v>38</v>
      </c>
      <c r="AC20" s="2" t="s">
        <v>39</v>
      </c>
      <c r="AD20" s="2" t="s">
        <v>40</v>
      </c>
    </row>
    <row r="21" spans="1:30" x14ac:dyDescent="0.25">
      <c r="A21" s="10" t="s">
        <v>7</v>
      </c>
    </row>
    <row r="22" spans="1:30" x14ac:dyDescent="0.25">
      <c r="A22" s="10" t="s">
        <v>8</v>
      </c>
    </row>
    <row r="23" spans="1:30" x14ac:dyDescent="0.25">
      <c r="A23" s="10" t="s">
        <v>9</v>
      </c>
    </row>
    <row r="24" spans="1:30" x14ac:dyDescent="0.25">
      <c r="A24" s="10" t="s">
        <v>10</v>
      </c>
    </row>
    <row r="25" spans="1:30" ht="15.75" thickBot="1" x14ac:dyDescent="0.3">
      <c r="A25" s="10" t="s">
        <v>11</v>
      </c>
      <c r="B25" s="5"/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  <c r="O25" s="6"/>
      <c r="P25" s="7"/>
      <c r="Q25" s="7"/>
      <c r="R25" s="7"/>
      <c r="S25" s="7"/>
      <c r="T25" s="7"/>
      <c r="U25" s="7"/>
      <c r="V25" s="7"/>
      <c r="W25" s="8"/>
      <c r="X25" s="8"/>
      <c r="Y25" s="8"/>
      <c r="Z25" s="8"/>
      <c r="AA25" s="8"/>
      <c r="AB25" s="8"/>
      <c r="AC25" s="8"/>
      <c r="AD25" s="8"/>
    </row>
  </sheetData>
  <sheetProtection algorithmName="SHA-512" hashValue="x3+fhTZ1lUx4qTeuGSuw1O7c54zg4OkeUmLo3qsQh2BXF3sZ8fINzeMW04Y14OBUSi8PJRGfBHi0R5jiWUj1OQ==" saltValue="3CaVvOtyzRC/QgyX2WBbqQ==" spinCount="100000" sheet="1" objects="1" scenarios="1"/>
  <mergeCells count="28">
    <mergeCell ref="B13:H13"/>
    <mergeCell ref="I13:O13"/>
    <mergeCell ref="P13:V13"/>
    <mergeCell ref="W13:AD13"/>
    <mergeCell ref="H6:I6"/>
    <mergeCell ref="N6:V6"/>
    <mergeCell ref="P10:Q10"/>
    <mergeCell ref="P11:Q11"/>
    <mergeCell ref="W10:X10"/>
    <mergeCell ref="W11:X11"/>
    <mergeCell ref="R10:T10"/>
    <mergeCell ref="R11:T11"/>
    <mergeCell ref="A1:AD2"/>
    <mergeCell ref="K10:M10"/>
    <mergeCell ref="K11:M11"/>
    <mergeCell ref="B10:C10"/>
    <mergeCell ref="B11:C11"/>
    <mergeCell ref="I10:J10"/>
    <mergeCell ref="I11:J11"/>
    <mergeCell ref="B4:E4"/>
    <mergeCell ref="B6:E6"/>
    <mergeCell ref="D10:F10"/>
    <mergeCell ref="D11:F11"/>
    <mergeCell ref="A7:B7"/>
    <mergeCell ref="H4:I4"/>
    <mergeCell ref="Y10:AA10"/>
    <mergeCell ref="Y11:AA11"/>
    <mergeCell ref="N4:V4"/>
  </mergeCells>
  <conditionalFormatting sqref="B4:E4">
    <cfRule type="dataBar" priority="15">
      <dataBar>
        <cfvo type="num" val="0"/>
        <cfvo type="num" val="145"/>
        <color rgb="FF92D050"/>
      </dataBar>
      <extLst>
        <ext xmlns:x14="http://schemas.microsoft.com/office/spreadsheetml/2009/9/main" uri="{B025F937-C7B1-47D3-B67F-A62EFF666E3E}">
          <x14:id>{DEBA519B-C8BD-40B6-A1E3-868A03F317B3}</x14:id>
        </ext>
      </extLst>
    </cfRule>
  </conditionalFormatting>
  <conditionalFormatting sqref="B6:E6">
    <cfRule type="dataBar" priority="14">
      <dataBar>
        <cfvo type="num" val="0"/>
        <cfvo type="num" val="30"/>
        <color rgb="FFFFC000"/>
      </dataBar>
      <extLst>
        <ext xmlns:x14="http://schemas.microsoft.com/office/spreadsheetml/2009/9/main" uri="{B025F937-C7B1-47D3-B67F-A62EFF666E3E}">
          <x14:id>{49642250-CE86-45F3-B20C-4BF735E4BC7D}</x14:id>
        </ext>
      </extLst>
    </cfRule>
  </conditionalFormatting>
  <conditionalFormatting sqref="B15:H19">
    <cfRule type="cellIs" dxfId="11" priority="26" operator="greaterThan">
      <formula>0</formula>
    </cfRule>
  </conditionalFormatting>
  <conditionalFormatting sqref="B21:H25">
    <cfRule type="cellIs" dxfId="10" priority="21" operator="greaterThan">
      <formula>0</formula>
    </cfRule>
    <cfRule type="cellIs" dxfId="9" priority="25" operator="greaterThan">
      <formula>0</formula>
    </cfRule>
  </conditionalFormatting>
  <conditionalFormatting sqref="E18">
    <cfRule type="iconSet" priority="13">
      <iconSet iconSet="3Symbols2">
        <cfvo type="percent" val="0"/>
        <cfvo type="num" val="60"/>
        <cfvo type="num" val="90"/>
      </iconSet>
    </cfRule>
  </conditionalFormatting>
  <conditionalFormatting sqref="G10">
    <cfRule type="iconSet" priority="10">
      <iconSet iconSet="3Symbols2">
        <cfvo type="percent" val="0"/>
        <cfvo type="num" val="60"/>
        <cfvo type="num" val="90"/>
      </iconSet>
    </cfRule>
  </conditionalFormatting>
  <conditionalFormatting sqref="G11">
    <cfRule type="iconSet" priority="9">
      <iconSet iconSet="3Symbols2">
        <cfvo type="percent" val="0"/>
        <cfvo type="num" val="60"/>
        <cfvo type="num" val="90"/>
      </iconSet>
    </cfRule>
  </conditionalFormatting>
  <conditionalFormatting sqref="I15:O19">
    <cfRule type="cellIs" dxfId="8" priority="16" operator="greaterThan">
      <formula>0</formula>
    </cfRule>
  </conditionalFormatting>
  <conditionalFormatting sqref="I21:O25">
    <cfRule type="cellIs" dxfId="7" priority="20" operator="greaterThan">
      <formula>0</formula>
    </cfRule>
  </conditionalFormatting>
  <conditionalFormatting sqref="I15:V19">
    <cfRule type="cellIs" dxfId="6" priority="23" operator="greaterThan">
      <formula>0</formula>
    </cfRule>
  </conditionalFormatting>
  <conditionalFormatting sqref="N10">
    <cfRule type="iconSet" priority="8">
      <iconSet iconSet="3Symbols2">
        <cfvo type="percent" val="0"/>
        <cfvo type="num" val="60"/>
        <cfvo type="num" val="90"/>
      </iconSet>
    </cfRule>
  </conditionalFormatting>
  <conditionalFormatting sqref="N11">
    <cfRule type="iconSet" priority="7">
      <iconSet iconSet="3Symbols2">
        <cfvo type="percent" val="0"/>
        <cfvo type="num" val="60"/>
        <cfvo type="num" val="90"/>
      </iconSet>
    </cfRule>
  </conditionalFormatting>
  <conditionalFormatting sqref="N4:V4">
    <cfRule type="containsText" dxfId="5" priority="1" operator="containsText" text="برافو حققت هدف الاسبوع التاني">
      <formula>NOT(ISERROR(SEARCH("برافو حققت هدف الاسبوع التاني",N4)))</formula>
    </cfRule>
    <cfRule type="containsText" dxfId="4" priority="2" operator="containsText" text="برافوا حققت هدف الاسبوع الاول">
      <formula>NOT(ISERROR(SEARCH("برافوا حققت هدف الاسبوع الاول",N4)))</formula>
    </cfRule>
  </conditionalFormatting>
  <conditionalFormatting sqref="P15:V19">
    <cfRule type="cellIs" dxfId="3" priority="17" operator="greaterThan">
      <formula>0</formula>
    </cfRule>
  </conditionalFormatting>
  <conditionalFormatting sqref="P21:V25">
    <cfRule type="cellIs" dxfId="2" priority="19" operator="greaterThan">
      <formula>0</formula>
    </cfRule>
  </conditionalFormatting>
  <conditionalFormatting sqref="U10">
    <cfRule type="iconSet" priority="6">
      <iconSet iconSet="3Symbols2">
        <cfvo type="percent" val="0"/>
        <cfvo type="num" val="60"/>
        <cfvo type="num" val="90"/>
      </iconSet>
    </cfRule>
  </conditionalFormatting>
  <conditionalFormatting sqref="U11">
    <cfRule type="iconSet" priority="5">
      <iconSet iconSet="3Symbols2">
        <cfvo type="percent" val="0"/>
        <cfvo type="num" val="60"/>
        <cfvo type="num" val="90"/>
      </iconSet>
    </cfRule>
  </conditionalFormatting>
  <conditionalFormatting sqref="W15:AD19">
    <cfRule type="cellIs" dxfId="1" priority="22" operator="greaterThan">
      <formula>0</formula>
    </cfRule>
  </conditionalFormatting>
  <conditionalFormatting sqref="W21:AD25">
    <cfRule type="cellIs" dxfId="0" priority="18" operator="greaterThan">
      <formula>0</formula>
    </cfRule>
  </conditionalFormatting>
  <conditionalFormatting sqref="AB10">
    <cfRule type="iconSet" priority="4">
      <iconSet iconSet="3Symbols2">
        <cfvo type="percent" val="0"/>
        <cfvo type="num" val="60"/>
        <cfvo type="num" val="90"/>
      </iconSet>
    </cfRule>
  </conditionalFormatting>
  <conditionalFormatting sqref="AB11">
    <cfRule type="iconSet" priority="3">
      <iconSet iconSet="3Symbols2">
        <cfvo type="percent" val="0"/>
        <cfvo type="num" val="60"/>
        <cfvo type="num" val="90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BA519B-C8BD-40B6-A1E3-868A03F317B3}">
            <x14:dataBar minLength="0" maxLength="100" gradient="0">
              <x14:cfvo type="num">
                <xm:f>0</xm:f>
              </x14:cfvo>
              <x14:cfvo type="num">
                <xm:f>145</xm:f>
              </x14:cfvo>
              <x14:negativeFillColor rgb="FFFF0000"/>
              <x14:axisColor rgb="FF000000"/>
            </x14:dataBar>
          </x14:cfRule>
          <xm:sqref>B4:E4</xm:sqref>
        </x14:conditionalFormatting>
        <x14:conditionalFormatting xmlns:xm="http://schemas.microsoft.com/office/excel/2006/main">
          <x14:cfRule type="dataBar" id="{49642250-CE86-45F3-B20C-4BF735E4BC7D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B6:E6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elfares</dc:creator>
  <cp:lastModifiedBy>سامي جمال</cp:lastModifiedBy>
  <dcterms:created xsi:type="dcterms:W3CDTF">2026-02-16T18:04:17Z</dcterms:created>
  <dcterms:modified xsi:type="dcterms:W3CDTF">2026-04-22T16:07:57Z</dcterms:modified>
</cp:coreProperties>
</file>